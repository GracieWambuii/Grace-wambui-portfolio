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868D0B6A-3FF1-49C9-B209-08478CCB0FA0}" xr6:coauthVersionLast="47" xr6:coauthVersionMax="47" xr10:uidLastSave="{00000000-0000-0000-0000-000000000000}"/>
  <bookViews>
    <workbookView xWindow="1480" yWindow="1480" windowWidth="14400" windowHeight="7270" xr2:uid="{F4D46AAB-B0E9-4609-AF1C-C6BFEEF55B71}"/>
  </bookViews>
  <sheets>
    <sheet name="May" sheetId="1" r:id="rId1"/>
    <sheet name="June" sheetId="2" r:id="rId2"/>
  </sheets>
  <definedNames>
    <definedName name="Slicer_Date">#N/A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T2" i="1"/>
  <c r="T3" i="1"/>
  <c r="T4" i="1"/>
  <c r="T5" i="1"/>
  <c r="T8" i="1" s="1"/>
  <c r="T6" i="1"/>
  <c r="P2" i="1"/>
  <c r="P3" i="1"/>
  <c r="P4" i="1"/>
  <c r="P5" i="1"/>
  <c r="P6" i="1"/>
  <c r="P7" i="1"/>
  <c r="P8" i="1"/>
  <c r="P9" i="1"/>
  <c r="P10" i="1"/>
  <c r="P11" i="1"/>
  <c r="P12" i="1"/>
  <c r="P13" i="1"/>
  <c r="P14" i="1"/>
  <c r="P15" i="1"/>
  <c r="D16" i="1" l="1"/>
  <c r="G4" i="1"/>
  <c r="G3" i="1"/>
  <c r="G2" i="1"/>
</calcChain>
</file>

<file path=xl/sharedStrings.xml><?xml version="1.0" encoding="utf-8"?>
<sst xmlns="http://schemas.openxmlformats.org/spreadsheetml/2006/main" count="63" uniqueCount="28">
  <si>
    <t>Date</t>
  </si>
  <si>
    <t>Category</t>
  </si>
  <si>
    <t>Item</t>
  </si>
  <si>
    <t>Amount</t>
  </si>
  <si>
    <t>Food</t>
  </si>
  <si>
    <t>Utlities</t>
  </si>
  <si>
    <t>Rent</t>
  </si>
  <si>
    <t>Utilities</t>
  </si>
  <si>
    <t>Groceries</t>
  </si>
  <si>
    <t>Rice</t>
  </si>
  <si>
    <t>Water Bill</t>
  </si>
  <si>
    <t>Appartment Rent</t>
  </si>
  <si>
    <t>Electricity Bill</t>
  </si>
  <si>
    <t>Maize flour</t>
  </si>
  <si>
    <t>Wifi Bill</t>
  </si>
  <si>
    <t>Legumes</t>
  </si>
  <si>
    <t>Meat</t>
  </si>
  <si>
    <t>Column1</t>
  </si>
  <si>
    <t>Total</t>
  </si>
  <si>
    <t xml:space="preserve"> </t>
  </si>
  <si>
    <t>Unit</t>
  </si>
  <si>
    <t>Budget</t>
  </si>
  <si>
    <t>Million</t>
  </si>
  <si>
    <t>Billion</t>
  </si>
  <si>
    <t>Currency</t>
  </si>
  <si>
    <t>dollars</t>
  </si>
  <si>
    <t>ksh</t>
  </si>
  <si>
    <t>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</si>
</sst>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Ksh&quot;#,##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17" fontId="0" fillId="0" borderId="0" xfId="0" applyNumberFormat="1"/>
    <xf numFmtId="0" fontId="1" fillId="2" borderId="0" xfId="0" applyFont="1" applyFill="1"/>
    <xf numFmtId="0" fontId="0" fillId="2" borderId="0" xfId="0" applyFill="1"/>
    <xf numFmtId="0" fontId="1" fillId="0" borderId="0" xfId="0" applyFont="1"/>
    <xf numFmtId="165" fontId="0" fillId="0" borderId="0" xfId="0" applyNumberFormat="1"/>
    <xf numFmtId="0" fontId="1" fillId="2" borderId="0" xfId="0" applyFont="1" applyFill="1" applyAlignment="1">
      <alignment horizontal="right"/>
    </xf>
    <xf numFmtId="0" fontId="0" fillId="0" borderId="0" xfId="0" applyNumberFormat="1"/>
  </cellXfs>
  <cellStyles count="1">
    <cellStyle name="Normal" xfId="0" builtinId="0"/>
  </cellStyles>
  <dxfs count="7">
    <dxf>
      <numFmt numFmtId="165" formatCode="&quot;Ksh&quot;#,##0.00"/>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dxf>
    <dxf>
      <numFmt numFmtId="0" formatCode="General"/>
    </dxf>
    <dxf>
      <fill>
        <patternFill patternType="solid">
          <fgColor indexed="64"/>
          <bgColor theme="5" tint="0.39997558519241921"/>
        </patternFill>
      </fill>
    </dxf>
    <dxf>
      <numFmt numFmtId="22" formatCode="mmm\-yy"/>
    </dxf>
    <dxf>
      <font>
        <b/>
        <i val="0"/>
        <strike val="0"/>
        <condense val="0"/>
        <extend val="0"/>
        <outline val="0"/>
        <shadow val="0"/>
        <u val="none"/>
        <vertAlign val="baseline"/>
        <sz val="11"/>
        <color theme="1"/>
        <name val="Calibri"/>
        <family val="2"/>
        <scheme val="minor"/>
      </font>
      <fill>
        <patternFill patternType="solid">
          <fgColor indexed="64"/>
          <bgColor theme="5" tint="0.39997558519241921"/>
        </patternFill>
      </fill>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8</xdr:col>
      <xdr:colOff>69850</xdr:colOff>
      <xdr:row>1</xdr:row>
      <xdr:rowOff>171450</xdr:rowOff>
    </xdr:from>
    <xdr:to>
      <xdr:col>11</xdr:col>
      <xdr:colOff>69850</xdr:colOff>
      <xdr:row>15</xdr:row>
      <xdr:rowOff>117475</xdr:rowOff>
    </xdr:to>
    <mc:AlternateContent xmlns:mc="http://schemas.openxmlformats.org/markup-compatibility/2006">
      <mc:Choice xmlns:sle15="http://schemas.microsoft.com/office/drawing/2012/slicer" Requires="sle15">
        <xdr:graphicFrame macro="">
          <xdr:nvGraphicFramePr>
            <xdr:cNvPr id="2" name="Date">
              <a:extLst>
                <a:ext uri="{FF2B5EF4-FFF2-40B4-BE49-F238E27FC236}">
                  <a16:creationId xmlns:a16="http://schemas.microsoft.com/office/drawing/2014/main" id="{CCD4393B-72F6-3D03-EB15-9AF66334F24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765800" y="3556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5301DEC-FBD5-491B-A1B2-3669528F74F8}" sourceName="Dat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B232B3A-1D48-4BBB-B8B7-49FA2E2F80EC}" cache="Slicer_Date" caption="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57C1F8-6D7D-4172-8975-D85C76388E69}" name="Expenses" displayName="Expenses" ref="A1:D16" totalsRowCount="1" headerRowDxfId="5">
  <autoFilter ref="A1:D15" xr:uid="{ED57C1F8-6D7D-4172-8975-D85C76388E69}"/>
  <tableColumns count="4">
    <tableColumn id="1" xr3:uid="{12F989B7-53A2-4425-A7A3-B97034ADD4C7}" name="Date" totalsRowLabel="Total" dataDxfId="6" totalsRowDxfId="4"/>
    <tableColumn id="2" xr3:uid="{E7B16EE3-2A61-4D50-89DF-561BE7FD5B55}" name="Category"/>
    <tableColumn id="3" xr3:uid="{3406C8C0-ECC5-4298-B083-CAA57BBE4CA4}" name="Item"/>
    <tableColumn id="4" xr3:uid="{9CDB5319-BA71-4F33-882E-411E7BF3FC17}" name="Amount" totalsRowFunction="custom">
      <totalsRowFormula>SUM(D2:D15)</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6AC02A-81AC-4A09-B606-4EB211E3C421}" name="Currencies" displayName="Currencies" ref="N1:P15" totalsRowShown="0" headerRowDxfId="3">
  <autoFilter ref="N1:P15" xr:uid="{D16AC02A-81AC-4A09-B606-4EB211E3C421}"/>
  <tableColumns count="3">
    <tableColumn id="1" xr3:uid="{98E48550-8260-4203-BD21-CD6715DA05AB}" name="Unit"/>
    <tableColumn id="2" xr3:uid="{56D19F6B-E8DB-485D-8F56-BCB10D79DD1D}" name="Budget"/>
    <tableColumn id="3" xr3:uid="{CDCD9E71-027B-457B-BCC7-66A5C86C6294}" name="Column1" dataDxfId="2">
      <calculatedColumnFormula>IF(Currencies[[#This Row],[Unit]]="Billion", Currencies[[#This Row],[Budget]] * 1000, Currencies[[#This Row],[Budget]])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A1EAD8-ADB2-4B34-95BC-103E5639E20E}" name="Rate" displayName="Rate" ref="R1:T6" totalsRowShown="0" headerRowDxfId="1">
  <autoFilter ref="R1:T6" xr:uid="{00A1EAD8-ADB2-4B34-95BC-103E5639E20E}"/>
  <tableColumns count="3">
    <tableColumn id="1" xr3:uid="{CCC1352A-663F-4287-8BF2-3B634B3D4F56}" name="Amount"/>
    <tableColumn id="2" xr3:uid="{20841A8E-8C21-440B-97F6-DDF43663E8A6}" name="Currency"/>
    <tableColumn id="3" xr3:uid="{690044AB-BF1B-4B78-A67E-11461B9F8FF4}" name="conversion" dataDxfId="0">
      <calculatedColumnFormula>IF(Rate[[#This Row],[Currency]]= "dollars", Rate[[#This Row],[Amount]] * 140, Rate[[#This Row],[Amount]])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D56C1-1C5B-40D6-8E54-302B3BB28A16}">
  <dimension ref="A1:U19"/>
  <sheetViews>
    <sheetView tabSelected="1" workbookViewId="0">
      <selection activeCell="E19" sqref="E19"/>
    </sheetView>
  </sheetViews>
  <sheetFormatPr defaultRowHeight="14.5" x14ac:dyDescent="0.35"/>
  <cols>
    <col min="2" max="2" width="11" customWidth="1"/>
    <col min="3" max="3" width="15.36328125" customWidth="1"/>
    <col min="4" max="4" width="9.6328125" customWidth="1"/>
    <col min="5" max="5" width="10.6328125" customWidth="1"/>
    <col min="20" max="20" width="15.08984375" customWidth="1"/>
  </cols>
  <sheetData>
    <row r="1" spans="1:21" s="3" customFormat="1" x14ac:dyDescent="0.35">
      <c r="A1" s="2" t="s">
        <v>0</v>
      </c>
      <c r="B1" s="2" t="s">
        <v>1</v>
      </c>
      <c r="C1" s="2" t="s">
        <v>2</v>
      </c>
      <c r="D1" s="2" t="s">
        <v>3</v>
      </c>
      <c r="E1" s="2"/>
      <c r="F1" s="2" t="s">
        <v>1</v>
      </c>
      <c r="G1" s="2" t="s">
        <v>18</v>
      </c>
      <c r="N1" s="3" t="s">
        <v>20</v>
      </c>
      <c r="O1" s="3" t="s">
        <v>21</v>
      </c>
      <c r="P1" s="3" t="s">
        <v>17</v>
      </c>
      <c r="R1" s="2" t="s">
        <v>3</v>
      </c>
      <c r="S1" s="2" t="s">
        <v>24</v>
      </c>
      <c r="T1" s="6" t="s">
        <v>27</v>
      </c>
      <c r="U1" s="2"/>
    </row>
    <row r="2" spans="1:21" x14ac:dyDescent="0.35">
      <c r="A2" s="1">
        <v>37012</v>
      </c>
      <c r="B2" t="s">
        <v>4</v>
      </c>
      <c r="C2" t="s">
        <v>8</v>
      </c>
      <c r="D2">
        <v>500</v>
      </c>
      <c r="F2" t="s">
        <v>4</v>
      </c>
      <c r="G2">
        <f>SUMIF(B2:B14,F2,D2:D14)</f>
        <v>2590</v>
      </c>
      <c r="N2" t="s">
        <v>22</v>
      </c>
      <c r="O2">
        <v>200</v>
      </c>
      <c r="P2">
        <f>IF(Currencies[[#This Row],[Unit]]="Billion", Currencies[[#This Row],[Budget]] * 1000, Currencies[[#This Row],[Budget]])</f>
        <v>200</v>
      </c>
      <c r="R2">
        <v>20</v>
      </c>
      <c r="S2" t="s">
        <v>25</v>
      </c>
      <c r="T2" s="5">
        <f>IF(Rate[[#This Row],[Currency]]= "dollars", Rate[[#This Row],[Amount]] * 140, Rate[[#This Row],[Amount]])</f>
        <v>2800</v>
      </c>
    </row>
    <row r="3" spans="1:21" x14ac:dyDescent="0.35">
      <c r="A3" s="1">
        <v>37012</v>
      </c>
      <c r="B3" t="s">
        <v>4</v>
      </c>
      <c r="C3" t="s">
        <v>9</v>
      </c>
      <c r="D3">
        <v>300</v>
      </c>
      <c r="F3" t="s">
        <v>7</v>
      </c>
      <c r="G3">
        <f>SUMIF(B2:B14,F3,D2:D14)</f>
        <v>9500</v>
      </c>
      <c r="N3" t="s">
        <v>23</v>
      </c>
      <c r="O3">
        <v>1</v>
      </c>
      <c r="P3">
        <f>IF(Currencies[[#This Row],[Unit]]="Billion", Currencies[[#This Row],[Budget]] * 1000, Currencies[[#This Row],[Budget]])</f>
        <v>1000</v>
      </c>
      <c r="R3">
        <v>5000</v>
      </c>
      <c r="S3" t="s">
        <v>26</v>
      </c>
      <c r="T3" s="5">
        <f>IF(Rate[[#This Row],[Currency]]= "dollars", Rate[[#This Row],[Amount]] * 140, Rate[[#This Row],[Amount]])</f>
        <v>5000</v>
      </c>
    </row>
    <row r="4" spans="1:21" x14ac:dyDescent="0.35">
      <c r="A4" s="1">
        <v>37012</v>
      </c>
      <c r="B4" t="s">
        <v>5</v>
      </c>
      <c r="C4" t="s">
        <v>10</v>
      </c>
      <c r="D4">
        <v>3000</v>
      </c>
      <c r="F4" t="s">
        <v>6</v>
      </c>
      <c r="G4">
        <f>SUMIF(B2:B14,F4,D2:D14)</f>
        <v>21000</v>
      </c>
      <c r="N4" t="s">
        <v>23</v>
      </c>
      <c r="O4">
        <v>5</v>
      </c>
      <c r="P4">
        <f>IF(Currencies[[#This Row],[Unit]]="Billion", Currencies[[#This Row],[Budget]] * 1000, Currencies[[#This Row],[Budget]])</f>
        <v>5000</v>
      </c>
      <c r="R4">
        <v>1000</v>
      </c>
      <c r="S4" t="s">
        <v>25</v>
      </c>
      <c r="T4" s="5">
        <f>IF(Rate[[#This Row],[Currency]]= "dollars", Rate[[#This Row],[Amount]] * 140, Rate[[#This Row],[Amount]])</f>
        <v>140000</v>
      </c>
    </row>
    <row r="5" spans="1:21" x14ac:dyDescent="0.35">
      <c r="A5" s="1">
        <v>37012</v>
      </c>
      <c r="B5" t="s">
        <v>6</v>
      </c>
      <c r="C5" t="s">
        <v>11</v>
      </c>
      <c r="D5">
        <v>7000</v>
      </c>
      <c r="N5" t="s">
        <v>23</v>
      </c>
      <c r="O5">
        <v>10</v>
      </c>
      <c r="P5">
        <f>IF(Currencies[[#This Row],[Unit]]="Billion", Currencies[[#This Row],[Budget]] * 1000, Currencies[[#This Row],[Budget]])</f>
        <v>10000</v>
      </c>
      <c r="R5">
        <v>100</v>
      </c>
      <c r="S5" t="s">
        <v>26</v>
      </c>
      <c r="T5" s="5">
        <f>IF(Rate[[#This Row],[Currency]]= "dollars", Rate[[#This Row],[Amount]] * 140, Rate[[#This Row],[Amount]])</f>
        <v>100</v>
      </c>
    </row>
    <row r="6" spans="1:21" x14ac:dyDescent="0.35">
      <c r="A6" s="1">
        <v>37012</v>
      </c>
      <c r="B6" t="s">
        <v>7</v>
      </c>
      <c r="C6" t="s">
        <v>12</v>
      </c>
      <c r="D6">
        <v>4000</v>
      </c>
      <c r="N6" t="s">
        <v>22</v>
      </c>
      <c r="O6">
        <v>6</v>
      </c>
      <c r="P6">
        <f>IF(Currencies[[#This Row],[Unit]]="Billion", Currencies[[#This Row],[Budget]] * 1000, Currencies[[#This Row],[Budget]])</f>
        <v>6</v>
      </c>
      <c r="R6">
        <v>50</v>
      </c>
      <c r="S6" t="s">
        <v>26</v>
      </c>
      <c r="T6" s="5">
        <f>IF(Rate[[#This Row],[Currency]]= "dollars", Rate[[#This Row],[Amount]] * 140, Rate[[#This Row],[Amount]])</f>
        <v>50</v>
      </c>
    </row>
    <row r="7" spans="1:21" x14ac:dyDescent="0.35">
      <c r="A7" s="1">
        <v>37377</v>
      </c>
      <c r="B7" t="s">
        <v>4</v>
      </c>
      <c r="C7" t="s">
        <v>13</v>
      </c>
      <c r="D7">
        <v>190</v>
      </c>
      <c r="N7" t="s">
        <v>23</v>
      </c>
      <c r="O7">
        <v>2</v>
      </c>
      <c r="P7">
        <f>IF(Currencies[[#This Row],[Unit]]="Billion", Currencies[[#This Row],[Budget]] * 1000, Currencies[[#This Row],[Budget]])</f>
        <v>2000</v>
      </c>
      <c r="S7" s="4"/>
      <c r="T7" s="5"/>
      <c r="U7" s="7"/>
    </row>
    <row r="8" spans="1:21" x14ac:dyDescent="0.35">
      <c r="A8" s="1">
        <v>37377</v>
      </c>
      <c r="B8" t="s">
        <v>7</v>
      </c>
      <c r="C8" t="s">
        <v>14</v>
      </c>
      <c r="D8">
        <v>3000</v>
      </c>
      <c r="N8" t="s">
        <v>22</v>
      </c>
      <c r="O8">
        <v>8</v>
      </c>
      <c r="P8">
        <f>IF(Currencies[[#This Row],[Unit]]="Billion", Currencies[[#This Row],[Budget]] * 1000, Currencies[[#This Row],[Budget]])</f>
        <v>8</v>
      </c>
      <c r="S8" s="4" t="s">
        <v>18</v>
      </c>
      <c r="T8" s="5">
        <f>SUM(Rate[conversion])</f>
        <v>147950</v>
      </c>
      <c r="U8" s="7"/>
    </row>
    <row r="9" spans="1:21" x14ac:dyDescent="0.35">
      <c r="A9" s="1">
        <v>37377</v>
      </c>
      <c r="B9" t="s">
        <v>6</v>
      </c>
      <c r="C9" t="s">
        <v>11</v>
      </c>
      <c r="D9">
        <v>7000</v>
      </c>
      <c r="N9" t="s">
        <v>22</v>
      </c>
      <c r="O9">
        <v>5</v>
      </c>
      <c r="P9">
        <f>IF(Currencies[[#This Row],[Unit]]="Billion", Currencies[[#This Row],[Budget]] * 1000, Currencies[[#This Row],[Budget]])</f>
        <v>5</v>
      </c>
      <c r="S9" s="7"/>
    </row>
    <row r="10" spans="1:21" x14ac:dyDescent="0.35">
      <c r="A10" s="1">
        <v>37377</v>
      </c>
      <c r="B10" t="s">
        <v>4</v>
      </c>
      <c r="C10" t="s">
        <v>8</v>
      </c>
      <c r="D10">
        <v>600</v>
      </c>
      <c r="N10" t="s">
        <v>23</v>
      </c>
      <c r="O10">
        <v>3</v>
      </c>
      <c r="P10">
        <f>IF(Currencies[[#This Row],[Unit]]="Billion", Currencies[[#This Row],[Budget]] * 1000, Currencies[[#This Row],[Budget]])</f>
        <v>3000</v>
      </c>
    </row>
    <row r="11" spans="1:21" x14ac:dyDescent="0.35">
      <c r="A11" s="1">
        <v>37742</v>
      </c>
      <c r="B11" t="s">
        <v>6</v>
      </c>
      <c r="C11" t="s">
        <v>11</v>
      </c>
      <c r="D11">
        <v>7000</v>
      </c>
      <c r="N11" t="s">
        <v>22</v>
      </c>
      <c r="O11">
        <v>9</v>
      </c>
      <c r="P11">
        <f>IF(Currencies[[#This Row],[Unit]]="Billion", Currencies[[#This Row],[Budget]] * 1000, Currencies[[#This Row],[Budget]])</f>
        <v>9</v>
      </c>
    </row>
    <row r="12" spans="1:21" x14ac:dyDescent="0.35">
      <c r="A12" s="1">
        <v>37742</v>
      </c>
      <c r="B12" t="s">
        <v>4</v>
      </c>
      <c r="C12" t="s">
        <v>15</v>
      </c>
      <c r="D12">
        <v>400</v>
      </c>
      <c r="N12" t="s">
        <v>22</v>
      </c>
      <c r="O12">
        <v>4</v>
      </c>
      <c r="P12">
        <f>IF(Currencies[[#This Row],[Unit]]="Billion", Currencies[[#This Row],[Budget]] * 1000, Currencies[[#This Row],[Budget]])</f>
        <v>4</v>
      </c>
    </row>
    <row r="13" spans="1:21" x14ac:dyDescent="0.35">
      <c r="A13" s="1">
        <v>37742</v>
      </c>
      <c r="B13" t="s">
        <v>7</v>
      </c>
      <c r="C13" t="s">
        <v>10</v>
      </c>
      <c r="D13">
        <v>2500</v>
      </c>
      <c r="N13" t="s">
        <v>23</v>
      </c>
      <c r="O13">
        <v>3</v>
      </c>
      <c r="P13">
        <f>IF(Currencies[[#This Row],[Unit]]="Billion", Currencies[[#This Row],[Budget]] * 1000, Currencies[[#This Row],[Budget]])</f>
        <v>3000</v>
      </c>
    </row>
    <row r="14" spans="1:21" x14ac:dyDescent="0.35">
      <c r="A14" s="1">
        <v>37742</v>
      </c>
      <c r="B14" t="s">
        <v>4</v>
      </c>
      <c r="C14" t="s">
        <v>16</v>
      </c>
      <c r="D14">
        <v>600</v>
      </c>
      <c r="N14" t="s">
        <v>23</v>
      </c>
      <c r="O14">
        <v>70</v>
      </c>
      <c r="P14">
        <f>IF(Currencies[[#This Row],[Unit]]="Billion", Currencies[[#This Row],[Budget]] * 1000, Currencies[[#This Row],[Budget]])</f>
        <v>70000</v>
      </c>
    </row>
    <row r="15" spans="1:21" x14ac:dyDescent="0.35">
      <c r="A15" s="1"/>
      <c r="C15" s="4"/>
      <c r="N15" t="s">
        <v>23</v>
      </c>
      <c r="O15">
        <v>9</v>
      </c>
      <c r="P15">
        <f>IF(Currencies[[#This Row],[Unit]]="Billion", Currencies[[#This Row],[Budget]] * 1000, Currencies[[#This Row],[Budget]])</f>
        <v>9000</v>
      </c>
    </row>
    <row r="16" spans="1:21" x14ac:dyDescent="0.35">
      <c r="A16" s="1" t="s">
        <v>18</v>
      </c>
      <c r="D16">
        <f>SUM(D2:D15)</f>
        <v>36090</v>
      </c>
    </row>
    <row r="17" spans="3:5" x14ac:dyDescent="0.35">
      <c r="C17" s="4" t="s">
        <v>19</v>
      </c>
    </row>
    <row r="19" spans="3:5" x14ac:dyDescent="0.35">
      <c r="E19">
        <f>COUNT(Expenses[Category])</f>
        <v>0</v>
      </c>
    </row>
  </sheetData>
  <pageMargins left="0.7" right="0.7" top="0.75" bottom="0.75" header="0.3" footer="0.3"/>
  <drawing r:id="rId1"/>
  <tableParts count="3">
    <tablePart r:id="rId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150E-99E0-47C7-B89D-9953B7A3A2A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May</vt:lpstr>
      <vt:lpstr>June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2023-08-18T07:55:03Z</dcterms:created>
  <dcterms:modified xsi:type="dcterms:W3CDTF">2023-08-18T11:44:57Z</dcterms:modified>
</cp:coreProperties>
</file>